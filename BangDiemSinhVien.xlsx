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khanhlinh/Documents/"/>
    </mc:Choice>
  </mc:AlternateContent>
  <xr:revisionPtr revIDLastSave="0" documentId="8_{013A4FDD-4466-6D4C-B87F-5A1E80B7FE19}" xr6:coauthVersionLast="47" xr6:coauthVersionMax="47" xr10:uidLastSave="{00000000-0000-0000-0000-000000000000}"/>
  <bookViews>
    <workbookView xWindow="160" yWindow="920" windowWidth="15420" windowHeight="16600" xr2:uid="{7F994112-1BE4-5C4D-8191-DDF7E25BF9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<sst xmlns="http://schemas.openxmlformats.org/spreadsheetml/2006/main" count="52" uniqueCount="33">
  <si>
    <t>Họ tên</t>
  </si>
  <si>
    <t>MSSV</t>
  </si>
  <si>
    <t>Lớp</t>
  </si>
  <si>
    <t>Câu 1</t>
  </si>
  <si>
    <t>Câu 2</t>
  </si>
  <si>
    <t>Câu 3</t>
  </si>
  <si>
    <t>Câu  4</t>
  </si>
  <si>
    <t>Câu 5</t>
  </si>
  <si>
    <t>Tổng điểm</t>
  </si>
  <si>
    <t>Tỷ lệ đúng (%)</t>
  </si>
  <si>
    <t>Loại đánh giá</t>
  </si>
  <si>
    <t>Ghi chú</t>
  </si>
  <si>
    <t>Sinh viên 1</t>
  </si>
  <si>
    <t>Sinh viên 2</t>
  </si>
  <si>
    <t>Sinh viên 3</t>
  </si>
  <si>
    <t>Sinh viên 4</t>
  </si>
  <si>
    <t>Sinh viên 5</t>
  </si>
  <si>
    <t>Sinh viên 6</t>
  </si>
  <si>
    <t>Sinh viên 7</t>
  </si>
  <si>
    <t>Sinh viên 8</t>
  </si>
  <si>
    <t>Sinh viên 9</t>
  </si>
  <si>
    <t>Sinh viên 10</t>
  </si>
  <si>
    <t>Sinh viên 11</t>
  </si>
  <si>
    <t>Sinh viên 12</t>
  </si>
  <si>
    <t>Sinh viên 13</t>
  </si>
  <si>
    <t>Sinh viên 14</t>
  </si>
  <si>
    <t>Sinh viên 15</t>
  </si>
  <si>
    <t>Sinh viên 16</t>
  </si>
  <si>
    <t>Sinh viên 17</t>
  </si>
  <si>
    <t>Sinh viên 18</t>
  </si>
  <si>
    <t>Sinh viên 19</t>
  </si>
  <si>
    <t>Sinh viên 20</t>
  </si>
  <si>
    <t>DD2B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</si>
</sst>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0BE2-84D3-8240-84C5-EFA2F3083336}">
  <dimension ref="A1:L21"/>
  <sheetViews>
    <sheetView tabSelected="1" workbookViewId="0">
      <selection activeCell="L2" sqref="L2"/>
    </sheetView>
  </sheetViews>
  <sheetFormatPr baseColWidth="10" defaultRowHeight="16" x14ac:dyDescent="0.2"/>
  <cols>
    <col min="12" max="12" width="29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2210001</v>
      </c>
      <c r="C2" t="s">
        <v>32</v>
      </c>
      <c r="D2">
        <v>1</v>
      </c>
      <c r="E2">
        <v>1</v>
      </c>
      <c r="F2">
        <v>1</v>
      </c>
      <c r="G2">
        <v>0</v>
      </c>
      <c r="H2">
        <v>1</v>
      </c>
      <c r="I2">
        <f>SUM(D2:H2)</f>
        <v>4</v>
      </c>
      <c r="J2">
        <v>0.8</v>
      </c>
      <c r="K2" t="str">
        <f>IF(I2&gt;=4,"Tốt",IF(I2&gt;=3,"Khá","Yếu"))</f>
        <v>Tốt</v>
      </c>
      <c r="L2" t="str">
        <f>_xlfn.CONCAT(A2,"(",B2,")-Đúng",J2,"%.")</f>
        <v>Sinh viên 1(2210001)-Đúng0,8%.</v>
      </c>
    </row>
    <row r="3" spans="1:12" x14ac:dyDescent="0.2">
      <c r="A3" t="s">
        <v>13</v>
      </c>
      <c r="B3">
        <v>2210002</v>
      </c>
      <c r="C3" t="s">
        <v>32</v>
      </c>
      <c r="D3">
        <v>0</v>
      </c>
      <c r="E3">
        <v>0</v>
      </c>
      <c r="F3">
        <v>0</v>
      </c>
      <c r="G3">
        <v>0</v>
      </c>
      <c r="H3">
        <v>0</v>
      </c>
      <c r="I3">
        <f>SUM(D3:H3)</f>
        <v>0</v>
      </c>
      <c r="J3">
        <v>0</v>
      </c>
      <c r="K3" t="str">
        <f t="shared" ref="K3:K21" si="0">IF(I3&gt;=4,"Tốt",IF(I3&gt;=3,"Khá","Yếu"))</f>
        <v>Yếu</v>
      </c>
      <c r="L3" t="str">
        <f t="shared" ref="L3:L21" si="1">_xlfn.CONCAT(A3,"(",B3,")-Đúng",J3,"%.")</f>
        <v>Sinh viên 2(2210002)-Đúng0%.</v>
      </c>
    </row>
    <row r="4" spans="1:12" x14ac:dyDescent="0.2">
      <c r="A4" t="s">
        <v>14</v>
      </c>
      <c r="B4">
        <v>2210003</v>
      </c>
      <c r="C4" t="s">
        <v>32</v>
      </c>
      <c r="D4">
        <v>1</v>
      </c>
      <c r="E4">
        <v>0</v>
      </c>
      <c r="F4">
        <v>1</v>
      </c>
      <c r="G4">
        <v>0</v>
      </c>
      <c r="H4">
        <v>1</v>
      </c>
      <c r="I4">
        <f>SUM(D4:H4)</f>
        <v>3</v>
      </c>
      <c r="J4">
        <v>0.6</v>
      </c>
      <c r="K4" t="str">
        <f t="shared" si="0"/>
        <v>Khá</v>
      </c>
      <c r="L4" t="str">
        <f t="shared" si="1"/>
        <v>Sinh viên 3(2210003)-Đúng0,6%.</v>
      </c>
    </row>
    <row r="5" spans="1:12" x14ac:dyDescent="0.2">
      <c r="A5" t="s">
        <v>15</v>
      </c>
      <c r="B5">
        <v>2210004</v>
      </c>
      <c r="C5" t="s">
        <v>32</v>
      </c>
      <c r="D5">
        <v>0</v>
      </c>
      <c r="E5">
        <v>0</v>
      </c>
      <c r="F5">
        <v>1</v>
      </c>
      <c r="G5">
        <v>0</v>
      </c>
      <c r="H5">
        <v>1</v>
      </c>
      <c r="I5">
        <f>SUM(D5:H5)</f>
        <v>2</v>
      </c>
      <c r="J5">
        <v>0.4</v>
      </c>
      <c r="K5" t="str">
        <f t="shared" si="0"/>
        <v>Yếu</v>
      </c>
      <c r="L5" t="str">
        <f t="shared" si="1"/>
        <v>Sinh viên 4(2210004)-Đúng0,4%.</v>
      </c>
    </row>
    <row r="6" spans="1:12" x14ac:dyDescent="0.2">
      <c r="A6" t="s">
        <v>16</v>
      </c>
      <c r="B6">
        <v>2210005</v>
      </c>
      <c r="C6" t="s">
        <v>32</v>
      </c>
      <c r="D6">
        <v>1</v>
      </c>
      <c r="E6">
        <v>1</v>
      </c>
      <c r="F6">
        <v>0</v>
      </c>
      <c r="G6">
        <v>1</v>
      </c>
      <c r="H6">
        <v>1</v>
      </c>
      <c r="I6">
        <f>SUM(D6:H6)</f>
        <v>4</v>
      </c>
      <c r="J6">
        <v>0.8</v>
      </c>
      <c r="K6" t="str">
        <f t="shared" si="0"/>
        <v>Tốt</v>
      </c>
      <c r="L6" t="str">
        <f t="shared" si="1"/>
        <v>Sinh viên 5(2210005)-Đúng0,8%.</v>
      </c>
    </row>
    <row r="7" spans="1:12" x14ac:dyDescent="0.2">
      <c r="A7" t="s">
        <v>17</v>
      </c>
      <c r="B7">
        <v>2210006</v>
      </c>
      <c r="C7" t="s">
        <v>32</v>
      </c>
      <c r="D7">
        <v>0</v>
      </c>
      <c r="E7">
        <v>1</v>
      </c>
      <c r="F7">
        <v>1</v>
      </c>
      <c r="G7">
        <v>0</v>
      </c>
      <c r="H7">
        <v>0</v>
      </c>
      <c r="I7">
        <f>SUM(D7:H7)</f>
        <v>2</v>
      </c>
      <c r="J7">
        <v>0.4</v>
      </c>
      <c r="K7" t="str">
        <f t="shared" si="0"/>
        <v>Yếu</v>
      </c>
      <c r="L7" t="str">
        <f t="shared" si="1"/>
        <v>Sinh viên 6(2210006)-Đúng0,4%.</v>
      </c>
    </row>
    <row r="8" spans="1:12" x14ac:dyDescent="0.2">
      <c r="A8" t="s">
        <v>18</v>
      </c>
      <c r="B8">
        <v>2210007</v>
      </c>
      <c r="C8" t="s">
        <v>32</v>
      </c>
      <c r="D8">
        <v>1</v>
      </c>
      <c r="E8">
        <v>0</v>
      </c>
      <c r="F8">
        <v>1</v>
      </c>
      <c r="G8">
        <v>1</v>
      </c>
      <c r="H8">
        <v>1</v>
      </c>
      <c r="I8">
        <f>SUM(D8:H8)</f>
        <v>4</v>
      </c>
      <c r="J8">
        <v>0.8</v>
      </c>
      <c r="K8" t="str">
        <f t="shared" si="0"/>
        <v>Tốt</v>
      </c>
      <c r="L8" t="str">
        <f t="shared" si="1"/>
        <v>Sinh viên 7(2210007)-Đúng0,8%.</v>
      </c>
    </row>
    <row r="9" spans="1:12" x14ac:dyDescent="0.2">
      <c r="A9" t="s">
        <v>19</v>
      </c>
      <c r="B9">
        <v>2210008</v>
      </c>
      <c r="C9" t="s">
        <v>32</v>
      </c>
      <c r="D9">
        <v>0</v>
      </c>
      <c r="E9">
        <v>0</v>
      </c>
      <c r="F9">
        <v>0</v>
      </c>
      <c r="G9">
        <v>0</v>
      </c>
      <c r="H9">
        <v>0</v>
      </c>
      <c r="I9">
        <f>SUM(D9:H9)</f>
        <v>0</v>
      </c>
      <c r="J9">
        <v>0</v>
      </c>
      <c r="K9" t="str">
        <f t="shared" si="0"/>
        <v>Yếu</v>
      </c>
      <c r="L9" t="str">
        <f t="shared" si="1"/>
        <v>Sinh viên 8(2210008)-Đúng0%.</v>
      </c>
    </row>
    <row r="10" spans="1:12" x14ac:dyDescent="0.2">
      <c r="A10" t="s">
        <v>20</v>
      </c>
      <c r="B10">
        <v>2210009</v>
      </c>
      <c r="C10" t="s">
        <v>32</v>
      </c>
      <c r="D10">
        <v>0</v>
      </c>
      <c r="E10">
        <v>0</v>
      </c>
      <c r="F10">
        <v>0</v>
      </c>
      <c r="G10">
        <v>0</v>
      </c>
      <c r="H10">
        <v>1</v>
      </c>
      <c r="I10">
        <f>SUM(D10:H10)</f>
        <v>1</v>
      </c>
      <c r="J10">
        <v>0.4</v>
      </c>
      <c r="K10" t="str">
        <f t="shared" si="0"/>
        <v>Yếu</v>
      </c>
      <c r="L10" t="str">
        <f t="shared" si="1"/>
        <v>Sinh viên 9(2210009)-Đúng0,4%.</v>
      </c>
    </row>
    <row r="11" spans="1:12" x14ac:dyDescent="0.2">
      <c r="A11" t="s">
        <v>21</v>
      </c>
      <c r="B11">
        <v>2210010</v>
      </c>
      <c r="C11" t="s">
        <v>32</v>
      </c>
      <c r="D11">
        <v>0</v>
      </c>
      <c r="E11">
        <v>0</v>
      </c>
      <c r="F11">
        <v>1</v>
      </c>
      <c r="G11">
        <v>1</v>
      </c>
      <c r="H11">
        <v>1</v>
      </c>
      <c r="I11">
        <f>SUM(D11:H11)</f>
        <v>3</v>
      </c>
      <c r="J11">
        <v>0.4</v>
      </c>
      <c r="K11" t="str">
        <f t="shared" si="0"/>
        <v>Khá</v>
      </c>
      <c r="L11" t="str">
        <f t="shared" si="1"/>
        <v>Sinh viên 10(2210010)-Đúng0,4%.</v>
      </c>
    </row>
    <row r="12" spans="1:12" x14ac:dyDescent="0.2">
      <c r="A12" t="s">
        <v>22</v>
      </c>
      <c r="B12">
        <v>2210011</v>
      </c>
      <c r="C12" t="s">
        <v>32</v>
      </c>
      <c r="D12">
        <v>1</v>
      </c>
      <c r="E12">
        <v>1</v>
      </c>
      <c r="F12">
        <v>0</v>
      </c>
      <c r="G12">
        <v>0</v>
      </c>
      <c r="H12">
        <v>1</v>
      </c>
      <c r="I12">
        <f>SUM(D12:H12)</f>
        <v>3</v>
      </c>
      <c r="J12">
        <v>0.6</v>
      </c>
      <c r="K12" t="str">
        <f t="shared" si="0"/>
        <v>Khá</v>
      </c>
      <c r="L12" t="str">
        <f t="shared" si="1"/>
        <v>Sinh viên 11(2210011)-Đúng0,6%.</v>
      </c>
    </row>
    <row r="13" spans="1:12" x14ac:dyDescent="0.2">
      <c r="A13" t="s">
        <v>23</v>
      </c>
      <c r="B13">
        <v>2210012</v>
      </c>
      <c r="C13" t="s">
        <v>32</v>
      </c>
      <c r="D13">
        <v>0</v>
      </c>
      <c r="E13">
        <v>0</v>
      </c>
      <c r="F13">
        <v>0</v>
      </c>
      <c r="G13">
        <v>0</v>
      </c>
      <c r="H13">
        <v>1</v>
      </c>
      <c r="I13">
        <f>SUM(D13:H13)</f>
        <v>1</v>
      </c>
      <c r="J13">
        <v>0.2</v>
      </c>
      <c r="K13" t="str">
        <f t="shared" si="0"/>
        <v>Yếu</v>
      </c>
      <c r="L13" t="str">
        <f t="shared" si="1"/>
        <v>Sinh viên 12(2210012)-Đúng0,2%.</v>
      </c>
    </row>
    <row r="14" spans="1:12" x14ac:dyDescent="0.2">
      <c r="A14" t="s">
        <v>24</v>
      </c>
      <c r="B14">
        <v>2210013</v>
      </c>
      <c r="C14" t="s">
        <v>32</v>
      </c>
      <c r="D14">
        <v>0</v>
      </c>
      <c r="E14">
        <v>0</v>
      </c>
      <c r="F14">
        <v>1</v>
      </c>
      <c r="G14">
        <v>1</v>
      </c>
      <c r="H14">
        <v>0</v>
      </c>
      <c r="I14">
        <f>SUM(D14:H14)</f>
        <v>2</v>
      </c>
      <c r="J14">
        <v>0.2</v>
      </c>
      <c r="K14" t="str">
        <f t="shared" si="0"/>
        <v>Yếu</v>
      </c>
      <c r="L14" t="str">
        <f t="shared" si="1"/>
        <v>Sinh viên 13(2210013)-Đúng0,2%.</v>
      </c>
    </row>
    <row r="15" spans="1:12" x14ac:dyDescent="0.2">
      <c r="A15" t="s">
        <v>25</v>
      </c>
      <c r="B15">
        <v>2210014</v>
      </c>
      <c r="C15" t="s">
        <v>32</v>
      </c>
      <c r="D15">
        <v>0</v>
      </c>
      <c r="E15">
        <v>0</v>
      </c>
      <c r="F15">
        <v>1</v>
      </c>
      <c r="G15">
        <v>1</v>
      </c>
      <c r="H15">
        <v>0</v>
      </c>
      <c r="I15">
        <f>SUM(D15:H15)</f>
        <v>2</v>
      </c>
      <c r="J15">
        <v>0.4</v>
      </c>
      <c r="K15" t="str">
        <f t="shared" si="0"/>
        <v>Yếu</v>
      </c>
      <c r="L15" t="str">
        <f t="shared" si="1"/>
        <v>Sinh viên 14(2210014)-Đúng0,4%.</v>
      </c>
    </row>
    <row r="16" spans="1:12" x14ac:dyDescent="0.2">
      <c r="A16" t="s">
        <v>26</v>
      </c>
      <c r="B16">
        <v>2210015</v>
      </c>
      <c r="C16" t="s">
        <v>32</v>
      </c>
      <c r="D16">
        <v>0</v>
      </c>
      <c r="E16">
        <v>1</v>
      </c>
      <c r="F16">
        <v>1</v>
      </c>
      <c r="G16">
        <v>1</v>
      </c>
      <c r="H16">
        <v>0</v>
      </c>
      <c r="I16">
        <f>SUM(D16:H16)</f>
        <v>3</v>
      </c>
      <c r="J16">
        <v>0.6</v>
      </c>
      <c r="K16" t="str">
        <f t="shared" si="0"/>
        <v>Khá</v>
      </c>
      <c r="L16" t="str">
        <f t="shared" si="1"/>
        <v>Sinh viên 15(2210015)-Đúng0,6%.</v>
      </c>
    </row>
    <row r="17" spans="1:12" x14ac:dyDescent="0.2">
      <c r="A17" t="s">
        <v>27</v>
      </c>
      <c r="B17">
        <v>2210016</v>
      </c>
      <c r="C17" t="s">
        <v>32</v>
      </c>
      <c r="D17">
        <v>1</v>
      </c>
      <c r="E17">
        <v>1</v>
      </c>
      <c r="F17">
        <v>0</v>
      </c>
      <c r="G17">
        <v>0</v>
      </c>
      <c r="H17">
        <v>0</v>
      </c>
      <c r="I17">
        <f>SUM(D17:H17)</f>
        <v>2</v>
      </c>
      <c r="J17">
        <v>0.4</v>
      </c>
      <c r="K17" t="str">
        <f t="shared" si="0"/>
        <v>Yếu</v>
      </c>
      <c r="L17" t="str">
        <f t="shared" si="1"/>
        <v>Sinh viên 16(2210016)-Đúng0,4%.</v>
      </c>
    </row>
    <row r="18" spans="1:12" x14ac:dyDescent="0.2">
      <c r="A18" t="s">
        <v>28</v>
      </c>
      <c r="B18">
        <v>2210017</v>
      </c>
      <c r="C18" t="s">
        <v>32</v>
      </c>
      <c r="D18">
        <v>1</v>
      </c>
      <c r="E18">
        <v>0</v>
      </c>
      <c r="F18">
        <v>0</v>
      </c>
      <c r="G18">
        <v>0</v>
      </c>
      <c r="H18">
        <v>0</v>
      </c>
      <c r="I18">
        <f>SUM(D18:H18)</f>
        <v>1</v>
      </c>
      <c r="J18">
        <v>0.4</v>
      </c>
      <c r="K18" t="str">
        <f t="shared" si="0"/>
        <v>Yếu</v>
      </c>
      <c r="L18" t="str">
        <f t="shared" si="1"/>
        <v>Sinh viên 17(2210017)-Đúng0,4%.</v>
      </c>
    </row>
    <row r="19" spans="1:12" x14ac:dyDescent="0.2">
      <c r="A19" t="s">
        <v>29</v>
      </c>
      <c r="B19">
        <v>2210018</v>
      </c>
      <c r="C19" t="s">
        <v>32</v>
      </c>
      <c r="D19">
        <v>0</v>
      </c>
      <c r="E19">
        <v>0</v>
      </c>
      <c r="F19">
        <v>1</v>
      </c>
      <c r="G19">
        <v>1</v>
      </c>
      <c r="H19">
        <v>1</v>
      </c>
      <c r="I19">
        <f>SUM(D19:H19)</f>
        <v>3</v>
      </c>
      <c r="J19">
        <v>0.6</v>
      </c>
      <c r="K19" t="str">
        <f t="shared" si="0"/>
        <v>Khá</v>
      </c>
      <c r="L19" t="str">
        <f t="shared" si="1"/>
        <v>Sinh viên 18(2210018)-Đúng0,6%.</v>
      </c>
    </row>
    <row r="20" spans="1:12" x14ac:dyDescent="0.2">
      <c r="A20" t="s">
        <v>30</v>
      </c>
      <c r="B20">
        <v>2210019</v>
      </c>
      <c r="C20" t="s">
        <v>32</v>
      </c>
      <c r="D20">
        <v>1</v>
      </c>
      <c r="E20">
        <v>0</v>
      </c>
      <c r="F20">
        <v>1</v>
      </c>
      <c r="G20">
        <v>1</v>
      </c>
      <c r="H20">
        <v>1</v>
      </c>
      <c r="I20">
        <f>SUM(D20:H20)</f>
        <v>4</v>
      </c>
      <c r="J20">
        <v>0.8</v>
      </c>
      <c r="K20" t="str">
        <f t="shared" si="0"/>
        <v>Tốt</v>
      </c>
      <c r="L20" t="str">
        <f t="shared" si="1"/>
        <v>Sinh viên 19(2210019)-Đúng0,8%.</v>
      </c>
    </row>
    <row r="21" spans="1:12" x14ac:dyDescent="0.2">
      <c r="A21" t="s">
        <v>31</v>
      </c>
      <c r="B21">
        <v>2210020</v>
      </c>
      <c r="C21" t="s">
        <v>32</v>
      </c>
      <c r="D21">
        <v>0</v>
      </c>
      <c r="E21">
        <v>0</v>
      </c>
      <c r="F21">
        <v>1</v>
      </c>
      <c r="G21">
        <v>1</v>
      </c>
      <c r="H21">
        <v>1</v>
      </c>
      <c r="I21">
        <f>SUM(D21:H21)</f>
        <v>3</v>
      </c>
      <c r="J21">
        <v>0.6</v>
      </c>
      <c r="K21" t="str">
        <f t="shared" si="0"/>
        <v>Khá</v>
      </c>
      <c r="L21" t="str">
        <f t="shared" si="1"/>
        <v>Sinh viên 20(2210020)-Đúng0,6%.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Khánh Linh</dc:creator>
  <cp:lastModifiedBy>Lê Khánh Linh</cp:lastModifiedBy>
  <dcterms:created xsi:type="dcterms:W3CDTF">2025-11-27T01:47:02Z</dcterms:created>
  <dcterms:modified xsi:type="dcterms:W3CDTF">2025-11-27T02:26:59Z</dcterms:modified>
</cp:coreProperties>
</file>